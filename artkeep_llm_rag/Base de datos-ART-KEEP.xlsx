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izm\Downloads\"/>
    </mc:Choice>
  </mc:AlternateContent>
  <xr:revisionPtr revIDLastSave="0" documentId="8_{E8A0B051-0DE1-4A70-8919-550A0E383DA7}" xr6:coauthVersionLast="47" xr6:coauthVersionMax="47" xr10:uidLastSave="{00000000-0000-0000-0000-000000000000}"/>
  <bookViews>
    <workbookView xWindow="-108" yWindow="-108" windowWidth="23256" windowHeight="12456" xr2:uid="{EF2DAD28-7D1C-4494-9E1A-17320D13545B}"/>
  </bookViews>
  <sheets>
    <sheet name="artworks" sheetId="1" r:id="rId1"/>
    <sheet name="expositions" sheetId="2" r:id="rId2"/>
    <sheet name="room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11" i="2"/>
  <c r="D3" i="2"/>
  <c r="D4" i="2" s="1"/>
  <c r="D5" i="2" s="1"/>
  <c r="D6" i="2" s="1"/>
  <c r="D7" i="2" s="1"/>
  <c r="D8" i="2" s="1"/>
  <c r="D9" i="2" s="1"/>
  <c r="I52" i="2"/>
  <c r="I5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<sst xmlns="http://schemas.openxmlformats.org/spreadsheetml/2006/main" count="449" uniqueCount="322">
  <si>
    <t>ID_Work</t>
  </si>
  <si>
    <t>Title</t>
  </si>
  <si>
    <t>Author</t>
  </si>
  <si>
    <t>Year</t>
  </si>
  <si>
    <t>Period/Style</t>
  </si>
  <si>
    <t>ID_Room</t>
  </si>
  <si>
    <t>Specific_Location</t>
  </si>
  <si>
    <t>Dimensions (cm)</t>
  </si>
  <si>
    <t>W01</t>
  </si>
  <si>
    <t>Mona Lisa (Replica)</t>
  </si>
  <si>
    <t>Leonardo da Vinci</t>
  </si>
  <si>
    <t>Renaissance</t>
  </si>
  <si>
    <t>S01</t>
  </si>
  <si>
    <t>Central Wall</t>
  </si>
  <si>
    <t>77 x 53</t>
  </si>
  <si>
    <t>W02</t>
  </si>
  <si>
    <t>Girl with a Pearl Earring</t>
  </si>
  <si>
    <t>Johannes Vermeer</t>
  </si>
  <si>
    <t>Baroque</t>
  </si>
  <si>
    <t>East Wall</t>
  </si>
  <si>
    <t>44 x 39</t>
  </si>
  <si>
    <t>W03</t>
  </si>
  <si>
    <t>The Birth of Venus</t>
  </si>
  <si>
    <t>Sandro Botticelli</t>
  </si>
  <si>
    <t>North Wall</t>
  </si>
  <si>
    <t>172 x 278</t>
  </si>
  <si>
    <t>W04</t>
  </si>
  <si>
    <t>Las Meninas (Study)</t>
  </si>
  <si>
    <t>Diego Velázquez</t>
  </si>
  <si>
    <t>West Wall</t>
  </si>
  <si>
    <t>318 x 276</t>
  </si>
  <si>
    <t>W05</t>
  </si>
  <si>
    <t>The Creation of Adam</t>
  </si>
  <si>
    <t>Michelangelo</t>
  </si>
  <si>
    <t>Curved Ceiling</t>
  </si>
  <si>
    <t>280 x 570</t>
  </si>
  <si>
    <t>W06</t>
  </si>
  <si>
    <t>Judith Slaying Holofernes</t>
  </si>
  <si>
    <t>Artemisia Gentileschi</t>
  </si>
  <si>
    <t>199 x 162</t>
  </si>
  <si>
    <t>W07</t>
  </si>
  <si>
    <t>The Last Supper (Sketch)</t>
  </si>
  <si>
    <t>Showcase 1</t>
  </si>
  <si>
    <t>46 x 88</t>
  </si>
  <si>
    <t>W08</t>
  </si>
  <si>
    <t>Arnolfini Portrait</t>
  </si>
  <si>
    <t>Jan van Eyck</t>
  </si>
  <si>
    <t>Pre-Renaissance</t>
  </si>
  <si>
    <t>82 x 60</t>
  </si>
  <si>
    <t>W09</t>
  </si>
  <si>
    <t>Nobleman with his Hand on his Chest</t>
  </si>
  <si>
    <t>El Greco</t>
  </si>
  <si>
    <t>Mannerism</t>
  </si>
  <si>
    <t>South Wall</t>
  </si>
  <si>
    <t>81 x 66</t>
  </si>
  <si>
    <t>W10</t>
  </si>
  <si>
    <t>David (Miniature)</t>
  </si>
  <si>
    <t>Donatello</t>
  </si>
  <si>
    <t>Pedestal A</t>
  </si>
  <si>
    <t>158 (height)</t>
  </si>
  <si>
    <t>W11</t>
  </si>
  <si>
    <t>Mask of Agamemnon</t>
  </si>
  <si>
    <t>Anonymous</t>
  </si>
  <si>
    <t>Mycenaean</t>
  </si>
  <si>
    <t>S02</t>
  </si>
  <si>
    <t>Central Showcase</t>
  </si>
  <si>
    <t>25 x 25</t>
  </si>
  <si>
    <t>W12</t>
  </si>
  <si>
    <t>Bust of Nefertiti</t>
  </si>
  <si>
    <t>Egyptian</t>
  </si>
  <si>
    <t>Pedestal B</t>
  </si>
  <si>
    <t>48 x 24</t>
  </si>
  <si>
    <t>W13</t>
  </si>
  <si>
    <t>Granite Sarcophagus</t>
  </si>
  <si>
    <t>North Chamber</t>
  </si>
  <si>
    <t>240 x 120</t>
  </si>
  <si>
    <t>W14</t>
  </si>
  <si>
    <t>Code of Hammurabi</t>
  </si>
  <si>
    <t>Mesopotamian</t>
  </si>
  <si>
    <t>225 x 65</t>
  </si>
  <si>
    <t>W15</t>
  </si>
  <si>
    <t>Black-figure Pottery</t>
  </si>
  <si>
    <t>Classical Greek</t>
  </si>
  <si>
    <t>Showcase 3</t>
  </si>
  <si>
    <t>45 x 30</t>
  </si>
  <si>
    <t>W16</t>
  </si>
  <si>
    <t>Discobolus</t>
  </si>
  <si>
    <t>South Corner</t>
  </si>
  <si>
    <t>155 (height)</t>
  </si>
  <si>
    <t>W17</t>
  </si>
  <si>
    <t>Capitoline Wolf</t>
  </si>
  <si>
    <t>Etruscan</t>
  </si>
  <si>
    <t>Pedestal C</t>
  </si>
  <si>
    <t>75 x 114</t>
  </si>
  <si>
    <t>W18</t>
  </si>
  <si>
    <t>Papyrus of the Dead</t>
  </si>
  <si>
    <t>Unknown Scribe</t>
  </si>
  <si>
    <t>Flat Showcase</t>
  </si>
  <si>
    <t>36 x 150</t>
  </si>
  <si>
    <t>W19</t>
  </si>
  <si>
    <t>Olmec Head</t>
  </si>
  <si>
    <t>Pre-Columbian</t>
  </si>
  <si>
    <t>Interior Courtyard</t>
  </si>
  <si>
    <t>280 x 210</t>
  </si>
  <si>
    <t>W20</t>
  </si>
  <si>
    <t>Alexander the Great Coin</t>
  </si>
  <si>
    <t>Hellenistic</t>
  </si>
  <si>
    <t>2.5 (diam)</t>
  </si>
  <si>
    <t>W21</t>
  </si>
  <si>
    <t>Impression, Sunrise</t>
  </si>
  <si>
    <t>Claude Monet</t>
  </si>
  <si>
    <t>Impressionism</t>
  </si>
  <si>
    <t>S03</t>
  </si>
  <si>
    <t>48 x 63</t>
  </si>
  <si>
    <t>W22</t>
  </si>
  <si>
    <t>The Starry Night</t>
  </si>
  <si>
    <t>Vincent van Gogh</t>
  </si>
  <si>
    <t>Post-Impressionism</t>
  </si>
  <si>
    <t>73 x 92</t>
  </si>
  <si>
    <t>W23</t>
  </si>
  <si>
    <t>The Scream</t>
  </si>
  <si>
    <t>Edvard Munch</t>
  </si>
  <si>
    <t>Expressionism</t>
  </si>
  <si>
    <t>91 x 73</t>
  </si>
  <si>
    <t>W24</t>
  </si>
  <si>
    <t>A Sunday on La Grande Jatte</t>
  </si>
  <si>
    <t>Georges Seurat</t>
  </si>
  <si>
    <t>Pointillism</t>
  </si>
  <si>
    <t>207 x 308</t>
  </si>
  <si>
    <t>W25</t>
  </si>
  <si>
    <t>The Thinker</t>
  </si>
  <si>
    <t>Auguste Rodin</t>
  </si>
  <si>
    <t>Modern Sculpture</t>
  </si>
  <si>
    <t>Balcony</t>
  </si>
  <si>
    <t>180 x 98</t>
  </si>
  <si>
    <t>W26</t>
  </si>
  <si>
    <t>Luncheon of the Boating Party</t>
  </si>
  <si>
    <t>Pierre-Auguste Renoir</t>
  </si>
  <si>
    <t>130 x 173</t>
  </si>
  <si>
    <t>W27</t>
  </si>
  <si>
    <t>Ballet Dancers</t>
  </si>
  <si>
    <t>Edgar Degas</t>
  </si>
  <si>
    <t>60 x 60</t>
  </si>
  <si>
    <t>W28</t>
  </si>
  <si>
    <t>Self-Portrait (Bandaged Ear)</t>
  </si>
  <si>
    <t>Van Gogh</t>
  </si>
  <si>
    <t>60 x 49</t>
  </si>
  <si>
    <t>W29</t>
  </si>
  <si>
    <t>The Kiss</t>
  </si>
  <si>
    <t>Gustav Klimt</t>
  </si>
  <si>
    <t>Symbolism</t>
  </si>
  <si>
    <t>180 x 180</t>
  </si>
  <si>
    <t>W30</t>
  </si>
  <si>
    <t>Liberty Leading the People</t>
  </si>
  <si>
    <t>Eugène Delacroix</t>
  </si>
  <si>
    <t>Romanticism</t>
  </si>
  <si>
    <t>260 x 325</t>
  </si>
  <si>
    <t>W31</t>
  </si>
  <si>
    <t>Guernica (Study)</t>
  </si>
  <si>
    <t>Pablo Picasso</t>
  </si>
  <si>
    <t>Cubism</t>
  </si>
  <si>
    <t>S04</t>
  </si>
  <si>
    <t>Main Wall</t>
  </si>
  <si>
    <t>349 x 776</t>
  </si>
  <si>
    <t>W32</t>
  </si>
  <si>
    <t>The Persistence of Memory</t>
  </si>
  <si>
    <t>Salvador Dalí</t>
  </si>
  <si>
    <t>Surrealism</t>
  </si>
  <si>
    <t>Special Showcase</t>
  </si>
  <si>
    <t>24 x 33</t>
  </si>
  <si>
    <t>W33</t>
  </si>
  <si>
    <t>Composition with Red, Blue and Yellow</t>
  </si>
  <si>
    <t>Piet Mondrian</t>
  </si>
  <si>
    <t>Neoplasticism</t>
  </si>
  <si>
    <t>46 x 46</t>
  </si>
  <si>
    <t>W34</t>
  </si>
  <si>
    <t>The Treachery of Images</t>
  </si>
  <si>
    <t>René Magritte</t>
  </si>
  <si>
    <t>60 x 81</t>
  </si>
  <si>
    <t>W35</t>
  </si>
  <si>
    <t>Fountain (Replica)</t>
  </si>
  <si>
    <t>Marcel Duchamp</t>
  </si>
  <si>
    <t>Dadaism</t>
  </si>
  <si>
    <t>Room Center</t>
  </si>
  <si>
    <t>63 x 48</t>
  </si>
  <si>
    <t>W36</t>
  </si>
  <si>
    <t>Circles in a Circle</t>
  </si>
  <si>
    <t>Wassily Kandinsky</t>
  </si>
  <si>
    <t>Abstract</t>
  </si>
  <si>
    <t>98 x 95</t>
  </si>
  <si>
    <t>W37</t>
  </si>
  <si>
    <t>The Weeping Woman</t>
  </si>
  <si>
    <t>W38</t>
  </si>
  <si>
    <t>Self-Portrait with Thorn Necklace</t>
  </si>
  <si>
    <t>Frida Kahlo</t>
  </si>
  <si>
    <t>61 x 47</t>
  </si>
  <si>
    <t>W39</t>
  </si>
  <si>
    <t>The Son of Man</t>
  </si>
  <si>
    <t>116 x 89</t>
  </si>
  <si>
    <t>W40</t>
  </si>
  <si>
    <t>Broadway Boogie Woogie</t>
  </si>
  <si>
    <t>Modernism</t>
  </si>
  <si>
    <t>127 x 127</t>
  </si>
  <si>
    <t>W41</t>
  </si>
  <si>
    <t>Campbell's Soup Cans</t>
  </si>
  <si>
    <t>Andy Warhol</t>
  </si>
  <si>
    <t>Pop Art</t>
  </si>
  <si>
    <t>S05</t>
  </si>
  <si>
    <t>51 x 41</t>
  </si>
  <si>
    <t>W42</t>
  </si>
  <si>
    <t>Marilyn Diptych</t>
  </si>
  <si>
    <t>205 x 289</t>
  </si>
  <si>
    <t>W43</t>
  </si>
  <si>
    <t>Girl with Balloon</t>
  </si>
  <si>
    <t>Banksy</t>
  </si>
  <si>
    <t>Street Art</t>
  </si>
  <si>
    <t>70 x 50</t>
  </si>
  <si>
    <t>W44</t>
  </si>
  <si>
    <t>Untitled (Black on Grey)</t>
  </si>
  <si>
    <t>Mark Rothko</t>
  </si>
  <si>
    <t>Exp. Abstract</t>
  </si>
  <si>
    <t>172 x 150</t>
  </si>
  <si>
    <t>W45</t>
  </si>
  <si>
    <t>Puppy</t>
  </si>
  <si>
    <t>Jeff Koons</t>
  </si>
  <si>
    <t>Kitsch</t>
  </si>
  <si>
    <t>Terrace Entrance</t>
  </si>
  <si>
    <t>1240 x 910</t>
  </si>
  <si>
    <t>W46</t>
  </si>
  <si>
    <t>The Physical Impossibility of Death...</t>
  </si>
  <si>
    <t>Damien Hirst</t>
  </si>
  <si>
    <t>Conceptual</t>
  </si>
  <si>
    <t>Central Tank</t>
  </si>
  <si>
    <t>217 x 541</t>
  </si>
  <si>
    <t>W47</t>
  </si>
  <si>
    <t>Love is in the Bin</t>
  </si>
  <si>
    <t>142 x 78</t>
  </si>
  <si>
    <t>W48</t>
  </si>
  <si>
    <t>Maman (Spider)</t>
  </si>
  <si>
    <t>Louise Bourgeois</t>
  </si>
  <si>
    <t>Sculpture</t>
  </si>
  <si>
    <t>Terrace Ceiling</t>
  </si>
  <si>
    <t>927 x 891</t>
  </si>
  <si>
    <t>W49</t>
  </si>
  <si>
    <t>Mirror Spheres</t>
  </si>
  <si>
    <t>Yayoi Kusama</t>
  </si>
  <si>
    <t>Installation</t>
  </si>
  <si>
    <t>Infinity Corner</t>
  </si>
  <si>
    <t>W50</t>
  </si>
  <si>
    <t>Digital Abstraction</t>
  </si>
  <si>
    <t>AI Artist</t>
  </si>
  <si>
    <t>Generative Art</t>
  </si>
  <si>
    <t>LED Screen</t>
  </si>
  <si>
    <t>200 x 200</t>
  </si>
  <si>
    <t>ID_Expo</t>
  </si>
  <si>
    <t>Name_Expo</t>
  </si>
  <si>
    <t>Theme</t>
  </si>
  <si>
    <t>Languages</t>
  </si>
  <si>
    <t>Rooms</t>
  </si>
  <si>
    <t>Est_Time (min)</t>
  </si>
  <si>
    <t>Guide_Path_Mode</t>
  </si>
  <si>
    <t>Included_Works (IDs)</t>
  </si>
  <si>
    <t>E01</t>
  </si>
  <si>
    <t>Light and Perspective: From Da Vinci to Velazquez</t>
  </si>
  <si>
    <t>Renaissance &amp; Baroque</t>
  </si>
  <si>
    <t>English, Spanish, Japanese</t>
  </si>
  <si>
    <t>Sequential</t>
  </si>
  <si>
    <t>W01, W02, W03, W04, W05, W06, W07, W08, W09, W10</t>
  </si>
  <si>
    <t>E02</t>
  </si>
  <si>
    <t>Echoes of Antiquity: Treasures of the Empires</t>
  </si>
  <si>
    <t>Ancient Civilizations</t>
  </si>
  <si>
    <t>W11, W12, W13, W14, W15, W16, W17, W18, W19, W20</t>
  </si>
  <si>
    <t>E03</t>
  </si>
  <si>
    <t>The Color Revolution: From the Salon to the Avant-Garde</t>
  </si>
  <si>
    <t>W21, W22, W23, W24, W25, W26, W27, W28, W29, W30</t>
  </si>
  <si>
    <t>E04</t>
  </si>
  <si>
    <t>Disruptive Minds: Dreams and Geometry</t>
  </si>
  <si>
    <t>Modernism &amp; Surrealism</t>
  </si>
  <si>
    <t>W31, W32, W33, W34, W35, W36, W37, W38, W39, W40</t>
  </si>
  <si>
    <t>E05</t>
  </si>
  <si>
    <t>Beyond the Canvas: From Pop Art to Generative AI</t>
  </si>
  <si>
    <t>Contemporany</t>
  </si>
  <si>
    <t>W41, W42, W43, W44, W45, W46, W47, W48, W49, W50</t>
  </si>
  <si>
    <t>E06</t>
  </si>
  <si>
    <t>Femenine Perspectives: Women in Art History</t>
  </si>
  <si>
    <t>Female artist and subjects</t>
  </si>
  <si>
    <t>S01, S03, S04, S05</t>
  </si>
  <si>
    <t>Point-to-Point</t>
  </si>
  <si>
    <t>W02, W06, W27, W38, W48</t>
  </si>
  <si>
    <t>E07</t>
  </si>
  <si>
    <t>Materiality &amp; Conservation: From Papyrus to Lead</t>
  </si>
  <si>
    <t>Focus on the physical support</t>
  </si>
  <si>
    <t>S02, S04, S05</t>
  </si>
  <si>
    <t>W13, W18, W32, W35, W46, W50</t>
  </si>
  <si>
    <t>E08</t>
  </si>
  <si>
    <t>HIdden Treasures: The Miniature Collection</t>
  </si>
  <si>
    <t>Small-scale masterpieces</t>
  </si>
  <si>
    <t>S01, S02, S04</t>
  </si>
  <si>
    <t>W07, W10, W11, W20, W32</t>
  </si>
  <si>
    <t>E09</t>
  </si>
  <si>
    <t>The evolution of Form: Sculptural Journey</t>
  </si>
  <si>
    <t>3D Objects</t>
  </si>
  <si>
    <t>S01, S02, S03, S04, S05</t>
  </si>
  <si>
    <t>W10, W12, W16, W25, W45, W48, W49</t>
  </si>
  <si>
    <t>E10</t>
  </si>
  <si>
    <t>Art &amp; Technology: The Digital Frontier</t>
  </si>
  <si>
    <t>Industrial &amp; Digital</t>
  </si>
  <si>
    <t>S04, S05</t>
  </si>
  <si>
    <t>Express</t>
  </si>
  <si>
    <t>W35, W41, W46, W50</t>
  </si>
  <si>
    <t>Name_room</t>
  </si>
  <si>
    <t>Max_Capacity</t>
  </si>
  <si>
    <t>Target_Temp (ºC)</t>
  </si>
  <si>
    <t>Target_Humidity (%)</t>
  </si>
  <si>
    <t>Light_Intensity (Lux)</t>
  </si>
  <si>
    <t>Artworks</t>
  </si>
  <si>
    <t>Renaissance Hall</t>
  </si>
  <si>
    <t>W01, W02, W03, W04, W05, W06, W07 W08, W09, W10</t>
  </si>
  <si>
    <t>Antiquity Gallery</t>
  </si>
  <si>
    <t>Impressionist Wing</t>
  </si>
  <si>
    <t>Modern Art Space</t>
  </si>
  <si>
    <t>Contemporany Terrace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</si>
</sst>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1F1F1F"/>
      <name val="Arial"/>
    </font>
    <font>
      <b/>
      <sz val="11"/>
      <color theme="1"/>
      <name val="Aptos Narrow"/>
      <family val="2"/>
      <scheme val="minor"/>
    </font>
    <font>
      <b/>
      <sz val="11"/>
      <color theme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 wrapText="1" indent="1" readingOrder="1"/>
    </xf>
    <xf numFmtId="0" fontId="4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indent="1" readingOrder="1"/>
    </xf>
    <xf numFmtId="0" fontId="2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alignment horizontal="center" vertical="center" textRotation="0" wrapText="1" indent="1" justifyLastLine="0" shrinkToFit="0" readingOrder="1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DB40EB-38CB-47AE-B11C-89FD186ECB69}" name="Tabla8" displayName="Tabla8" ref="A1:H51" totalsRowShown="0" headerRowDxfId="18" dataDxfId="17">
  <autoFilter ref="A1:H51" xr:uid="{3ADB40EB-38CB-47AE-B11C-89FD186ECB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A985F45-4E46-4EA4-8234-FD539497DC84}" name="ID_Work" dataDxfId="16"/>
    <tableColumn id="2" xr3:uid="{1FDB3AD4-ECCA-4CAE-9E42-F236DA916D5C}" name="Title" dataDxfId="15"/>
    <tableColumn id="3" xr3:uid="{56A28FDB-AB44-4BFD-8928-22B4E80DABDC}" name="Author" dataDxfId="14"/>
    <tableColumn id="4" xr3:uid="{C4AF612F-FA4D-4873-9733-FCCE450C74E8}" name="Year" dataDxfId="13"/>
    <tableColumn id="5" xr3:uid="{4C718640-7A5A-4A48-84BB-B2C19C222BB2}" name="Period/Style" dataDxfId="12"/>
    <tableColumn id="6" xr3:uid="{B6E33461-057A-467B-A4A8-FF8ABAA6DA1F}" name="ID_Room" dataDxfId="11"/>
    <tableColumn id="7" xr3:uid="{D68D1839-21BC-4DA5-9ABA-4C0764894180}" name="Specific_Location" dataDxfId="10"/>
    <tableColumn id="8" xr3:uid="{BD4761BA-5A8A-49D5-A76D-F05E15479D29}" name="Dimensions (cm)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7C1241-3CBD-4AAB-BF8E-D87363A42264}" name="Tabla6" displayName="Tabla6" ref="A1:H11" totalsRowShown="0" headerRowDxfId="28" dataDxfId="27">
  <autoFilter ref="A1:H11" xr:uid="{627C1241-3CBD-4AAB-BF8E-D87363A422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D718E40-6366-4AD2-BAAD-65B5307BADDE}" name="ID_Expo" dataDxfId="26"/>
    <tableColumn id="2" xr3:uid="{E09587B0-E63C-49EE-99AE-C0CF692F5266}" name="Name_Expo" dataDxfId="25"/>
    <tableColumn id="3" xr3:uid="{416D5B3D-3D9B-4A52-A010-C1F8E3BD3C5A}" name="Theme" dataDxfId="24"/>
    <tableColumn id="4" xr3:uid="{DE196C55-89C6-41D7-A1C1-8CB74523B351}" name="Languages" dataDxfId="23">
      <calculatedColumnFormula>D1</calculatedColumnFormula>
    </tableColumn>
    <tableColumn id="5" xr3:uid="{5290CD21-41A6-4EA9-8010-63D2E199D9C8}" name="Rooms" dataDxfId="22"/>
    <tableColumn id="6" xr3:uid="{923DA74C-D734-4E1B-B887-B9901AB1FF76}" name="Est_Time (min)" dataDxfId="21"/>
    <tableColumn id="7" xr3:uid="{B57A7E04-7B02-43B9-98C9-C67BAA3B1122}" name="Guide_Path_Mode" dataDxfId="20"/>
    <tableColumn id="8" xr3:uid="{C1F0C9C0-63A0-419D-811B-0D84C691365D}" name="Included_Works (IDs)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C7F40C-A9A3-4CF0-81C9-BF50BD097D69}" name="Tabla5" displayName="Tabla5" ref="A1:G6" totalsRowShown="0" headerRowDxfId="8" dataDxfId="7">
  <autoFilter ref="A1:G6" xr:uid="{2AC7F40C-A9A3-4CF0-81C9-BF50BD097D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198B02C-7DCC-4773-853E-8844B0A404E6}" name="ID_Room" dataDxfId="6"/>
    <tableColumn id="2" xr3:uid="{A329DA67-DABD-4BF0-BFDE-A160E723C26B}" name="Name_room" dataDxfId="5"/>
    <tableColumn id="3" xr3:uid="{A23F5C7E-9556-4931-93C1-BD422908F616}" name="Max_Capacity" dataDxfId="4"/>
    <tableColumn id="4" xr3:uid="{C3620674-72F8-423B-84E0-FCD4460A3A37}" name="Target_Temp (ºC)" dataDxfId="3"/>
    <tableColumn id="5" xr3:uid="{EAA7EF09-1394-42A5-9BDB-3B9BC2B4EF3E}" name="Target_Humidity (%)" dataDxfId="2"/>
    <tableColumn id="6" xr3:uid="{8C5F5D94-E312-4437-A50C-61BA2E889D67}" name="Light_Intensity (Lux)" dataDxfId="1"/>
    <tableColumn id="7" xr3:uid="{4C94B64D-A10E-43BC-9138-822ACD09F735}" name="Artwo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C174-D8BB-490B-A80D-F7C00AFDD6D6}">
  <dimension ref="A1:H52"/>
  <sheetViews>
    <sheetView tabSelected="1" workbookViewId="0">
      <selection activeCell="N9" sqref="N9"/>
    </sheetView>
  </sheetViews>
  <sheetFormatPr baseColWidth="10" defaultColWidth="11.44140625" defaultRowHeight="15" customHeight="1" x14ac:dyDescent="0.3"/>
  <cols>
    <col min="1" max="1" width="13.44140625" bestFit="1" customWidth="1"/>
    <col min="2" max="2" width="20.109375" customWidth="1"/>
    <col min="3" max="3" width="16.109375" customWidth="1"/>
    <col min="4" max="4" width="15.6640625" customWidth="1"/>
    <col min="5" max="5" width="19.44140625" customWidth="1"/>
    <col min="6" max="6" width="14.109375" customWidth="1"/>
    <col min="7" max="7" width="23.33203125" customWidth="1"/>
    <col min="8" max="8" width="21.44140625" customWidth="1"/>
  </cols>
  <sheetData>
    <row r="1" spans="1:8" ht="14.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27.6" x14ac:dyDescent="0.3">
      <c r="A2" s="8" t="s">
        <v>8</v>
      </c>
      <c r="B2" s="8" t="s">
        <v>9</v>
      </c>
      <c r="C2" s="8" t="s">
        <v>10</v>
      </c>
      <c r="D2" s="8">
        <v>1503</v>
      </c>
      <c r="E2" s="8" t="s">
        <v>11</v>
      </c>
      <c r="F2" s="8" t="s">
        <v>12</v>
      </c>
      <c r="G2" s="8" t="s">
        <v>13</v>
      </c>
      <c r="H2" s="9" t="s">
        <v>14</v>
      </c>
    </row>
    <row r="3" spans="1:8" ht="27.6" x14ac:dyDescent="0.3">
      <c r="A3" s="8" t="s">
        <v>15</v>
      </c>
      <c r="B3" s="8" t="s">
        <v>16</v>
      </c>
      <c r="C3" s="8" t="s">
        <v>17</v>
      </c>
      <c r="D3" s="8">
        <v>1665</v>
      </c>
      <c r="E3" s="8" t="s">
        <v>18</v>
      </c>
      <c r="F3" s="8" t="s">
        <v>12</v>
      </c>
      <c r="G3" s="8" t="s">
        <v>19</v>
      </c>
      <c r="H3" s="9" t="s">
        <v>20</v>
      </c>
    </row>
    <row r="4" spans="1:8" ht="27.6" x14ac:dyDescent="0.3">
      <c r="A4" s="8" t="s">
        <v>21</v>
      </c>
      <c r="B4" s="8" t="s">
        <v>22</v>
      </c>
      <c r="C4" s="8" t="s">
        <v>23</v>
      </c>
      <c r="D4" s="8">
        <v>1485</v>
      </c>
      <c r="E4" s="8" t="s">
        <v>11</v>
      </c>
      <c r="F4" s="8" t="s">
        <v>12</v>
      </c>
      <c r="G4" s="8" t="s">
        <v>24</v>
      </c>
      <c r="H4" s="9" t="s">
        <v>25</v>
      </c>
    </row>
    <row r="5" spans="1:8" ht="27.6" x14ac:dyDescent="0.3">
      <c r="A5" s="8" t="s">
        <v>26</v>
      </c>
      <c r="B5" s="8" t="s">
        <v>27</v>
      </c>
      <c r="C5" s="8" t="s">
        <v>28</v>
      </c>
      <c r="D5" s="8">
        <v>1656</v>
      </c>
      <c r="E5" s="8" t="s">
        <v>18</v>
      </c>
      <c r="F5" s="8" t="s">
        <v>12</v>
      </c>
      <c r="G5" s="8" t="s">
        <v>29</v>
      </c>
      <c r="H5" s="9" t="s">
        <v>30</v>
      </c>
    </row>
    <row r="6" spans="1:8" ht="27.6" x14ac:dyDescent="0.3">
      <c r="A6" s="8" t="s">
        <v>31</v>
      </c>
      <c r="B6" s="8" t="s">
        <v>32</v>
      </c>
      <c r="C6" s="8" t="s">
        <v>33</v>
      </c>
      <c r="D6" s="8">
        <v>1512</v>
      </c>
      <c r="E6" s="8" t="s">
        <v>11</v>
      </c>
      <c r="F6" s="8" t="s">
        <v>12</v>
      </c>
      <c r="G6" s="8" t="s">
        <v>34</v>
      </c>
      <c r="H6" s="9" t="s">
        <v>35</v>
      </c>
    </row>
    <row r="7" spans="1:8" ht="27.6" x14ac:dyDescent="0.3">
      <c r="A7" s="8" t="s">
        <v>36</v>
      </c>
      <c r="B7" s="8" t="s">
        <v>37</v>
      </c>
      <c r="C7" s="8" t="s">
        <v>38</v>
      </c>
      <c r="D7" s="8">
        <v>1612</v>
      </c>
      <c r="E7" s="8" t="s">
        <v>18</v>
      </c>
      <c r="F7" s="8" t="s">
        <v>12</v>
      </c>
      <c r="G7" s="8" t="s">
        <v>19</v>
      </c>
      <c r="H7" s="9" t="s">
        <v>39</v>
      </c>
    </row>
    <row r="8" spans="1:8" ht="27.6" x14ac:dyDescent="0.3">
      <c r="A8" s="8" t="s">
        <v>40</v>
      </c>
      <c r="B8" s="8" t="s">
        <v>41</v>
      </c>
      <c r="C8" s="8" t="s">
        <v>10</v>
      </c>
      <c r="D8" s="8">
        <v>1495</v>
      </c>
      <c r="E8" s="8" t="s">
        <v>11</v>
      </c>
      <c r="F8" s="8" t="s">
        <v>12</v>
      </c>
      <c r="G8" s="8" t="s">
        <v>42</v>
      </c>
      <c r="H8" s="9" t="s">
        <v>43</v>
      </c>
    </row>
    <row r="9" spans="1:8" ht="28.5" customHeight="1" x14ac:dyDescent="0.3">
      <c r="A9" s="8" t="s">
        <v>44</v>
      </c>
      <c r="B9" s="8" t="s">
        <v>45</v>
      </c>
      <c r="C9" s="8" t="s">
        <v>46</v>
      </c>
      <c r="D9" s="8">
        <v>1434</v>
      </c>
      <c r="E9" s="8" t="s">
        <v>47</v>
      </c>
      <c r="F9" s="8" t="s">
        <v>12</v>
      </c>
      <c r="G9" s="8" t="s">
        <v>24</v>
      </c>
      <c r="H9" s="9" t="s">
        <v>48</v>
      </c>
    </row>
    <row r="10" spans="1:8" ht="27.6" x14ac:dyDescent="0.3">
      <c r="A10" s="8" t="s">
        <v>49</v>
      </c>
      <c r="B10" s="8" t="s">
        <v>50</v>
      </c>
      <c r="C10" s="8" t="s">
        <v>51</v>
      </c>
      <c r="D10" s="8">
        <v>1580</v>
      </c>
      <c r="E10" s="8" t="s">
        <v>52</v>
      </c>
      <c r="F10" s="8" t="s">
        <v>12</v>
      </c>
      <c r="G10" s="8" t="s">
        <v>53</v>
      </c>
      <c r="H10" s="9" t="s">
        <v>54</v>
      </c>
    </row>
    <row r="11" spans="1:8" ht="14.4" x14ac:dyDescent="0.3">
      <c r="A11" s="8" t="s">
        <v>55</v>
      </c>
      <c r="B11" s="8" t="s">
        <v>56</v>
      </c>
      <c r="C11" s="8" t="s">
        <v>57</v>
      </c>
      <c r="D11" s="8">
        <v>1440</v>
      </c>
      <c r="E11" s="8" t="s">
        <v>11</v>
      </c>
      <c r="F11" s="8" t="s">
        <v>12</v>
      </c>
      <c r="G11" s="8" t="s">
        <v>58</v>
      </c>
      <c r="H11" s="9" t="s">
        <v>59</v>
      </c>
    </row>
    <row r="12" spans="1:8" ht="27.6" x14ac:dyDescent="0.3">
      <c r="A12" s="8" t="s">
        <v>60</v>
      </c>
      <c r="B12" s="8" t="s">
        <v>61</v>
      </c>
      <c r="C12" s="8" t="s">
        <v>62</v>
      </c>
      <c r="D12" s="8">
        <v>-1550</v>
      </c>
      <c r="E12" s="8" t="s">
        <v>63</v>
      </c>
      <c r="F12" s="8" t="s">
        <v>64</v>
      </c>
      <c r="G12" s="8" t="s">
        <v>65</v>
      </c>
      <c r="H12" s="9" t="s">
        <v>66</v>
      </c>
    </row>
    <row r="13" spans="1:8" ht="14.4" x14ac:dyDescent="0.3">
      <c r="A13" s="8" t="s">
        <v>67</v>
      </c>
      <c r="B13" s="8" t="s">
        <v>68</v>
      </c>
      <c r="C13" s="8" t="s">
        <v>62</v>
      </c>
      <c r="D13" s="8">
        <v>-1345</v>
      </c>
      <c r="E13" s="8" t="s">
        <v>69</v>
      </c>
      <c r="F13" s="8" t="s">
        <v>64</v>
      </c>
      <c r="G13" s="8" t="s">
        <v>70</v>
      </c>
      <c r="H13" s="9" t="s">
        <v>71</v>
      </c>
    </row>
    <row r="14" spans="1:8" ht="27.6" x14ac:dyDescent="0.3">
      <c r="A14" s="8" t="s">
        <v>72</v>
      </c>
      <c r="B14" s="8" t="s">
        <v>73</v>
      </c>
      <c r="C14" s="8" t="s">
        <v>62</v>
      </c>
      <c r="D14" s="8">
        <v>-1200</v>
      </c>
      <c r="E14" s="8" t="s">
        <v>69</v>
      </c>
      <c r="F14" s="8" t="s">
        <v>64</v>
      </c>
      <c r="G14" s="8" t="s">
        <v>74</v>
      </c>
      <c r="H14" s="9" t="s">
        <v>75</v>
      </c>
    </row>
    <row r="15" spans="1:8" ht="29.25" customHeight="1" x14ac:dyDescent="0.3">
      <c r="A15" s="8" t="s">
        <v>76</v>
      </c>
      <c r="B15" s="8" t="s">
        <v>77</v>
      </c>
      <c r="C15" s="8" t="s">
        <v>62</v>
      </c>
      <c r="D15" s="8">
        <v>-1750</v>
      </c>
      <c r="E15" s="8" t="s">
        <v>78</v>
      </c>
      <c r="F15" s="8" t="s">
        <v>64</v>
      </c>
      <c r="G15" s="8" t="s">
        <v>13</v>
      </c>
      <c r="H15" s="9" t="s">
        <v>79</v>
      </c>
    </row>
    <row r="16" spans="1:8" ht="27" customHeight="1" x14ac:dyDescent="0.3">
      <c r="A16" s="8" t="s">
        <v>80</v>
      </c>
      <c r="B16" s="8" t="s">
        <v>81</v>
      </c>
      <c r="C16" s="8" t="s">
        <v>62</v>
      </c>
      <c r="D16" s="8">
        <v>-530</v>
      </c>
      <c r="E16" s="8" t="s">
        <v>82</v>
      </c>
      <c r="F16" s="8" t="s">
        <v>64</v>
      </c>
      <c r="G16" s="8" t="s">
        <v>83</v>
      </c>
      <c r="H16" s="9" t="s">
        <v>84</v>
      </c>
    </row>
    <row r="17" spans="1:8" ht="14.4" x14ac:dyDescent="0.3">
      <c r="A17" s="8" t="s">
        <v>85</v>
      </c>
      <c r="B17" s="8" t="s">
        <v>86</v>
      </c>
      <c r="C17" s="8" t="s">
        <v>62</v>
      </c>
      <c r="D17" s="8">
        <v>-450</v>
      </c>
      <c r="E17" s="8" t="s">
        <v>82</v>
      </c>
      <c r="F17" s="8" t="s">
        <v>64</v>
      </c>
      <c r="G17" s="8" t="s">
        <v>87</v>
      </c>
      <c r="H17" s="9" t="s">
        <v>88</v>
      </c>
    </row>
    <row r="18" spans="1:8" ht="14.4" x14ac:dyDescent="0.3">
      <c r="A18" s="8" t="s">
        <v>89</v>
      </c>
      <c r="B18" s="8" t="s">
        <v>90</v>
      </c>
      <c r="C18" s="8" t="s">
        <v>62</v>
      </c>
      <c r="D18" s="8">
        <v>-450</v>
      </c>
      <c r="E18" s="8" t="s">
        <v>91</v>
      </c>
      <c r="F18" s="8" t="s">
        <v>64</v>
      </c>
      <c r="G18" s="8" t="s">
        <v>92</v>
      </c>
      <c r="H18" s="9" t="s">
        <v>93</v>
      </c>
    </row>
    <row r="19" spans="1:8" ht="27.6" x14ac:dyDescent="0.3">
      <c r="A19" s="8" t="s">
        <v>94</v>
      </c>
      <c r="B19" s="8" t="s">
        <v>95</v>
      </c>
      <c r="C19" s="8" t="s">
        <v>96</v>
      </c>
      <c r="D19" s="8">
        <v>-1300</v>
      </c>
      <c r="E19" s="8" t="s">
        <v>69</v>
      </c>
      <c r="F19" s="8" t="s">
        <v>64</v>
      </c>
      <c r="G19" s="8" t="s">
        <v>97</v>
      </c>
      <c r="H19" s="9" t="s">
        <v>98</v>
      </c>
    </row>
    <row r="20" spans="1:8" ht="14.4" x14ac:dyDescent="0.3">
      <c r="A20" s="8" t="s">
        <v>99</v>
      </c>
      <c r="B20" s="8" t="s">
        <v>100</v>
      </c>
      <c r="C20" s="8" t="s">
        <v>62</v>
      </c>
      <c r="D20" s="8">
        <v>-900</v>
      </c>
      <c r="E20" s="8" t="s">
        <v>101</v>
      </c>
      <c r="F20" s="8" t="s">
        <v>64</v>
      </c>
      <c r="G20" s="8" t="s">
        <v>102</v>
      </c>
      <c r="H20" s="9" t="s">
        <v>103</v>
      </c>
    </row>
    <row r="21" spans="1:8" ht="27.6" x14ac:dyDescent="0.3">
      <c r="A21" s="8" t="s">
        <v>104</v>
      </c>
      <c r="B21" s="8" t="s">
        <v>105</v>
      </c>
      <c r="C21" s="8" t="s">
        <v>62</v>
      </c>
      <c r="D21" s="8">
        <v>-323</v>
      </c>
      <c r="E21" s="8" t="s">
        <v>106</v>
      </c>
      <c r="F21" s="8" t="s">
        <v>64</v>
      </c>
      <c r="G21" s="8" t="s">
        <v>42</v>
      </c>
      <c r="H21" s="9" t="s">
        <v>107</v>
      </c>
    </row>
    <row r="22" spans="1:8" ht="25.5" customHeight="1" x14ac:dyDescent="0.3">
      <c r="A22" s="8" t="s">
        <v>108</v>
      </c>
      <c r="B22" s="8" t="s">
        <v>109</v>
      </c>
      <c r="C22" s="8" t="s">
        <v>110</v>
      </c>
      <c r="D22" s="8">
        <v>1872</v>
      </c>
      <c r="E22" s="8" t="s">
        <v>111</v>
      </c>
      <c r="F22" s="8" t="s">
        <v>112</v>
      </c>
      <c r="G22" s="8" t="s">
        <v>24</v>
      </c>
      <c r="H22" s="9" t="s">
        <v>113</v>
      </c>
    </row>
    <row r="23" spans="1:8" ht="27.6" x14ac:dyDescent="0.3">
      <c r="A23" s="8" t="s">
        <v>114</v>
      </c>
      <c r="B23" s="8" t="s">
        <v>115</v>
      </c>
      <c r="C23" s="8" t="s">
        <v>116</v>
      </c>
      <c r="D23" s="8">
        <v>1889</v>
      </c>
      <c r="E23" s="8" t="s">
        <v>117</v>
      </c>
      <c r="F23" s="8" t="s">
        <v>112</v>
      </c>
      <c r="G23" s="8" t="s">
        <v>13</v>
      </c>
      <c r="H23" s="9" t="s">
        <v>118</v>
      </c>
    </row>
    <row r="24" spans="1:8" ht="14.4" x14ac:dyDescent="0.3">
      <c r="A24" s="8" t="s">
        <v>119</v>
      </c>
      <c r="B24" s="8" t="s">
        <v>120</v>
      </c>
      <c r="C24" s="8" t="s">
        <v>121</v>
      </c>
      <c r="D24" s="8">
        <v>1893</v>
      </c>
      <c r="E24" s="8" t="s">
        <v>122</v>
      </c>
      <c r="F24" s="8" t="s">
        <v>112</v>
      </c>
      <c r="G24" s="8" t="s">
        <v>19</v>
      </c>
      <c r="H24" s="9" t="s">
        <v>123</v>
      </c>
    </row>
    <row r="25" spans="1:8" ht="27.6" x14ac:dyDescent="0.3">
      <c r="A25" s="8" t="s">
        <v>124</v>
      </c>
      <c r="B25" s="8" t="s">
        <v>125</v>
      </c>
      <c r="C25" s="8" t="s">
        <v>126</v>
      </c>
      <c r="D25" s="8">
        <v>1884</v>
      </c>
      <c r="E25" s="8" t="s">
        <v>127</v>
      </c>
      <c r="F25" s="8" t="s">
        <v>112</v>
      </c>
      <c r="G25" s="8" t="s">
        <v>29</v>
      </c>
      <c r="H25" s="9" t="s">
        <v>128</v>
      </c>
    </row>
    <row r="26" spans="1:8" ht="14.4" x14ac:dyDescent="0.3">
      <c r="A26" s="8" t="s">
        <v>129</v>
      </c>
      <c r="B26" s="8" t="s">
        <v>130</v>
      </c>
      <c r="C26" s="8" t="s">
        <v>131</v>
      </c>
      <c r="D26" s="8">
        <v>1902</v>
      </c>
      <c r="E26" s="8" t="s">
        <v>132</v>
      </c>
      <c r="F26" s="8" t="s">
        <v>112</v>
      </c>
      <c r="G26" s="8" t="s">
        <v>133</v>
      </c>
      <c r="H26" s="9" t="s">
        <v>134</v>
      </c>
    </row>
    <row r="27" spans="1:8" ht="41.4" x14ac:dyDescent="0.3">
      <c r="A27" s="8" t="s">
        <v>135</v>
      </c>
      <c r="B27" s="8" t="s">
        <v>136</v>
      </c>
      <c r="C27" s="8" t="s">
        <v>137</v>
      </c>
      <c r="D27" s="8">
        <v>1881</v>
      </c>
      <c r="E27" s="8" t="s">
        <v>111</v>
      </c>
      <c r="F27" s="8" t="s">
        <v>112</v>
      </c>
      <c r="G27" s="8" t="s">
        <v>53</v>
      </c>
      <c r="H27" s="9" t="s">
        <v>138</v>
      </c>
    </row>
    <row r="28" spans="1:8" ht="14.4" x14ac:dyDescent="0.3">
      <c r="A28" s="8" t="s">
        <v>139</v>
      </c>
      <c r="B28" s="8" t="s">
        <v>140</v>
      </c>
      <c r="C28" s="8" t="s">
        <v>141</v>
      </c>
      <c r="D28" s="8">
        <v>1878</v>
      </c>
      <c r="E28" s="8" t="s">
        <v>111</v>
      </c>
      <c r="F28" s="8" t="s">
        <v>112</v>
      </c>
      <c r="G28" s="8" t="s">
        <v>19</v>
      </c>
      <c r="H28" s="9" t="s">
        <v>142</v>
      </c>
    </row>
    <row r="29" spans="1:8" ht="27.6" x14ac:dyDescent="0.3">
      <c r="A29" s="8" t="s">
        <v>143</v>
      </c>
      <c r="B29" s="8" t="s">
        <v>144</v>
      </c>
      <c r="C29" s="8" t="s">
        <v>145</v>
      </c>
      <c r="D29" s="8">
        <v>1889</v>
      </c>
      <c r="E29" s="8" t="s">
        <v>117</v>
      </c>
      <c r="F29" s="8" t="s">
        <v>112</v>
      </c>
      <c r="G29" s="8" t="s">
        <v>13</v>
      </c>
      <c r="H29" s="9" t="s">
        <v>146</v>
      </c>
    </row>
    <row r="30" spans="1:8" ht="14.4" x14ac:dyDescent="0.3">
      <c r="A30" s="8" t="s">
        <v>147</v>
      </c>
      <c r="B30" s="8" t="s">
        <v>148</v>
      </c>
      <c r="C30" s="8" t="s">
        <v>149</v>
      </c>
      <c r="D30" s="8">
        <v>1907</v>
      </c>
      <c r="E30" s="8" t="s">
        <v>150</v>
      </c>
      <c r="F30" s="8" t="s">
        <v>112</v>
      </c>
      <c r="G30" s="8" t="s">
        <v>24</v>
      </c>
      <c r="H30" s="9" t="s">
        <v>151</v>
      </c>
    </row>
    <row r="31" spans="1:8" ht="27.6" x14ac:dyDescent="0.3">
      <c r="A31" s="8" t="s">
        <v>152</v>
      </c>
      <c r="B31" s="8" t="s">
        <v>153</v>
      </c>
      <c r="C31" s="8" t="s">
        <v>154</v>
      </c>
      <c r="D31" s="8">
        <v>1830</v>
      </c>
      <c r="E31" s="8" t="s">
        <v>155</v>
      </c>
      <c r="F31" s="8" t="s">
        <v>112</v>
      </c>
      <c r="G31" s="8" t="s">
        <v>29</v>
      </c>
      <c r="H31" s="9" t="s">
        <v>156</v>
      </c>
    </row>
    <row r="32" spans="1:8" ht="14.4" x14ac:dyDescent="0.3">
      <c r="A32" s="8" t="s">
        <v>157</v>
      </c>
      <c r="B32" s="8" t="s">
        <v>158</v>
      </c>
      <c r="C32" s="8" t="s">
        <v>159</v>
      </c>
      <c r="D32" s="8">
        <v>1937</v>
      </c>
      <c r="E32" s="8" t="s">
        <v>160</v>
      </c>
      <c r="F32" s="8" t="s">
        <v>161</v>
      </c>
      <c r="G32" s="8" t="s">
        <v>162</v>
      </c>
      <c r="H32" s="9" t="s">
        <v>163</v>
      </c>
    </row>
    <row r="33" spans="1:8" ht="27.6" x14ac:dyDescent="0.3">
      <c r="A33" s="8" t="s">
        <v>164</v>
      </c>
      <c r="B33" s="8" t="s">
        <v>165</v>
      </c>
      <c r="C33" s="8" t="s">
        <v>166</v>
      </c>
      <c r="D33" s="8">
        <v>1931</v>
      </c>
      <c r="E33" s="8" t="s">
        <v>167</v>
      </c>
      <c r="F33" s="8" t="s">
        <v>161</v>
      </c>
      <c r="G33" s="8" t="s">
        <v>168</v>
      </c>
      <c r="H33" s="9" t="s">
        <v>169</v>
      </c>
    </row>
    <row r="34" spans="1:8" ht="41.4" x14ac:dyDescent="0.3">
      <c r="A34" s="8" t="s">
        <v>170</v>
      </c>
      <c r="B34" s="8" t="s">
        <v>171</v>
      </c>
      <c r="C34" s="8" t="s">
        <v>172</v>
      </c>
      <c r="D34" s="8">
        <v>1930</v>
      </c>
      <c r="E34" s="8" t="s">
        <v>173</v>
      </c>
      <c r="F34" s="8" t="s">
        <v>161</v>
      </c>
      <c r="G34" s="8" t="s">
        <v>53</v>
      </c>
      <c r="H34" s="9" t="s">
        <v>174</v>
      </c>
    </row>
    <row r="35" spans="1:8" ht="27.6" x14ac:dyDescent="0.3">
      <c r="A35" s="8" t="s">
        <v>175</v>
      </c>
      <c r="B35" s="8" t="s">
        <v>176</v>
      </c>
      <c r="C35" s="8" t="s">
        <v>177</v>
      </c>
      <c r="D35" s="8">
        <v>1929</v>
      </c>
      <c r="E35" s="8" t="s">
        <v>167</v>
      </c>
      <c r="F35" s="8" t="s">
        <v>161</v>
      </c>
      <c r="G35" s="8" t="s">
        <v>24</v>
      </c>
      <c r="H35" s="9" t="s">
        <v>178</v>
      </c>
    </row>
    <row r="36" spans="1:8" ht="27.6" x14ac:dyDescent="0.3">
      <c r="A36" s="8" t="s">
        <v>179</v>
      </c>
      <c r="B36" s="8" t="s">
        <v>180</v>
      </c>
      <c r="C36" s="8" t="s">
        <v>181</v>
      </c>
      <c r="D36" s="8">
        <v>1917</v>
      </c>
      <c r="E36" s="8" t="s">
        <v>182</v>
      </c>
      <c r="F36" s="8" t="s">
        <v>161</v>
      </c>
      <c r="G36" s="8" t="s">
        <v>183</v>
      </c>
      <c r="H36" s="9" t="s">
        <v>184</v>
      </c>
    </row>
    <row r="37" spans="1:8" ht="27.6" x14ac:dyDescent="0.3">
      <c r="A37" s="8" t="s">
        <v>185</v>
      </c>
      <c r="B37" s="8" t="s">
        <v>186</v>
      </c>
      <c r="C37" s="8" t="s">
        <v>187</v>
      </c>
      <c r="D37" s="8">
        <v>1923</v>
      </c>
      <c r="E37" s="8" t="s">
        <v>188</v>
      </c>
      <c r="F37" s="8" t="s">
        <v>161</v>
      </c>
      <c r="G37" s="8" t="s">
        <v>19</v>
      </c>
      <c r="H37" s="9" t="s">
        <v>189</v>
      </c>
    </row>
    <row r="38" spans="1:8" ht="27.6" x14ac:dyDescent="0.3">
      <c r="A38" s="8" t="s">
        <v>190</v>
      </c>
      <c r="B38" s="8" t="s">
        <v>191</v>
      </c>
      <c r="C38" s="8" t="s">
        <v>159</v>
      </c>
      <c r="D38" s="8">
        <v>1937</v>
      </c>
      <c r="E38" s="8" t="s">
        <v>160</v>
      </c>
      <c r="F38" s="8" t="s">
        <v>161</v>
      </c>
      <c r="G38" s="8" t="s">
        <v>29</v>
      </c>
      <c r="H38" s="9" t="s">
        <v>146</v>
      </c>
    </row>
    <row r="39" spans="1:8" ht="27.6" x14ac:dyDescent="0.3">
      <c r="A39" s="8" t="s">
        <v>192</v>
      </c>
      <c r="B39" s="8" t="s">
        <v>193</v>
      </c>
      <c r="C39" s="8" t="s">
        <v>194</v>
      </c>
      <c r="D39" s="8">
        <v>1940</v>
      </c>
      <c r="E39" s="8" t="s">
        <v>167</v>
      </c>
      <c r="F39" s="8" t="s">
        <v>161</v>
      </c>
      <c r="G39" s="8" t="s">
        <v>53</v>
      </c>
      <c r="H39" s="9" t="s">
        <v>195</v>
      </c>
    </row>
    <row r="40" spans="1:8" ht="14.4" x14ac:dyDescent="0.3">
      <c r="A40" s="8" t="s">
        <v>196</v>
      </c>
      <c r="B40" s="8" t="s">
        <v>197</v>
      </c>
      <c r="C40" s="8" t="s">
        <v>177</v>
      </c>
      <c r="D40" s="8">
        <v>1964</v>
      </c>
      <c r="E40" s="8" t="s">
        <v>167</v>
      </c>
      <c r="F40" s="8" t="s">
        <v>161</v>
      </c>
      <c r="G40" s="8" t="s">
        <v>24</v>
      </c>
      <c r="H40" s="9" t="s">
        <v>198</v>
      </c>
    </row>
    <row r="41" spans="1:8" ht="27.6" x14ac:dyDescent="0.3">
      <c r="A41" s="8" t="s">
        <v>199</v>
      </c>
      <c r="B41" s="8" t="s">
        <v>200</v>
      </c>
      <c r="C41" s="8" t="s">
        <v>172</v>
      </c>
      <c r="D41" s="8">
        <v>1942</v>
      </c>
      <c r="E41" s="8" t="s">
        <v>201</v>
      </c>
      <c r="F41" s="8" t="s">
        <v>161</v>
      </c>
      <c r="G41" s="8" t="s">
        <v>19</v>
      </c>
      <c r="H41" s="9" t="s">
        <v>202</v>
      </c>
    </row>
    <row r="42" spans="1:8" ht="27.6" x14ac:dyDescent="0.3">
      <c r="A42" s="8" t="s">
        <v>203</v>
      </c>
      <c r="B42" s="8" t="s">
        <v>204</v>
      </c>
      <c r="C42" s="8" t="s">
        <v>205</v>
      </c>
      <c r="D42" s="8">
        <v>1962</v>
      </c>
      <c r="E42" s="8" t="s">
        <v>206</v>
      </c>
      <c r="F42" s="8" t="s">
        <v>207</v>
      </c>
      <c r="G42" s="8" t="s">
        <v>24</v>
      </c>
      <c r="H42" s="9" t="s">
        <v>208</v>
      </c>
    </row>
    <row r="43" spans="1:8" ht="14.4" x14ac:dyDescent="0.3">
      <c r="A43" s="8" t="s">
        <v>209</v>
      </c>
      <c r="B43" s="8" t="s">
        <v>210</v>
      </c>
      <c r="C43" s="8" t="s">
        <v>205</v>
      </c>
      <c r="D43" s="8">
        <v>1962</v>
      </c>
      <c r="E43" s="8" t="s">
        <v>206</v>
      </c>
      <c r="F43" s="8" t="s">
        <v>207</v>
      </c>
      <c r="G43" s="8" t="s">
        <v>24</v>
      </c>
      <c r="H43" s="9" t="s">
        <v>211</v>
      </c>
    </row>
    <row r="44" spans="1:8" ht="14.4" x14ac:dyDescent="0.3">
      <c r="A44" s="8" t="s">
        <v>212</v>
      </c>
      <c r="B44" s="8" t="s">
        <v>213</v>
      </c>
      <c r="C44" s="8" t="s">
        <v>214</v>
      </c>
      <c r="D44" s="8">
        <v>2002</v>
      </c>
      <c r="E44" s="8" t="s">
        <v>215</v>
      </c>
      <c r="F44" s="8" t="s">
        <v>207</v>
      </c>
      <c r="G44" s="8" t="s">
        <v>29</v>
      </c>
      <c r="H44" s="9" t="s">
        <v>216</v>
      </c>
    </row>
    <row r="45" spans="1:8" ht="27.6" x14ac:dyDescent="0.3">
      <c r="A45" s="8" t="s">
        <v>217</v>
      </c>
      <c r="B45" s="8" t="s">
        <v>218</v>
      </c>
      <c r="C45" s="8" t="s">
        <v>219</v>
      </c>
      <c r="D45" s="8">
        <v>1969</v>
      </c>
      <c r="E45" s="8" t="s">
        <v>220</v>
      </c>
      <c r="F45" s="8" t="s">
        <v>207</v>
      </c>
      <c r="G45" s="8" t="s">
        <v>53</v>
      </c>
      <c r="H45" s="9" t="s">
        <v>221</v>
      </c>
    </row>
    <row r="46" spans="1:8" ht="14.4" x14ac:dyDescent="0.3">
      <c r="A46" s="8" t="s">
        <v>222</v>
      </c>
      <c r="B46" s="8" t="s">
        <v>223</v>
      </c>
      <c r="C46" s="8" t="s">
        <v>224</v>
      </c>
      <c r="D46" s="8">
        <v>1992</v>
      </c>
      <c r="E46" s="8" t="s">
        <v>225</v>
      </c>
      <c r="F46" s="8" t="s">
        <v>207</v>
      </c>
      <c r="G46" s="8" t="s">
        <v>226</v>
      </c>
      <c r="H46" s="9" t="s">
        <v>227</v>
      </c>
    </row>
    <row r="47" spans="1:8" ht="41.4" x14ac:dyDescent="0.3">
      <c r="A47" s="8" t="s">
        <v>228</v>
      </c>
      <c r="B47" s="8" t="s">
        <v>229</v>
      </c>
      <c r="C47" s="8" t="s">
        <v>230</v>
      </c>
      <c r="D47" s="8">
        <v>1991</v>
      </c>
      <c r="E47" s="8" t="s">
        <v>231</v>
      </c>
      <c r="F47" s="8" t="s">
        <v>207</v>
      </c>
      <c r="G47" s="8" t="s">
        <v>232</v>
      </c>
      <c r="H47" s="9" t="s">
        <v>233</v>
      </c>
    </row>
    <row r="48" spans="1:8" ht="14.4" x14ac:dyDescent="0.3">
      <c r="A48" s="8" t="s">
        <v>234</v>
      </c>
      <c r="B48" s="8" t="s">
        <v>235</v>
      </c>
      <c r="C48" s="8" t="s">
        <v>214</v>
      </c>
      <c r="D48" s="8">
        <v>2018</v>
      </c>
      <c r="E48" s="8" t="s">
        <v>215</v>
      </c>
      <c r="F48" s="8" t="s">
        <v>207</v>
      </c>
      <c r="G48" s="8" t="s">
        <v>29</v>
      </c>
      <c r="H48" s="9" t="s">
        <v>236</v>
      </c>
    </row>
    <row r="49" spans="1:8" ht="27.6" x14ac:dyDescent="0.3">
      <c r="A49" s="8" t="s">
        <v>237</v>
      </c>
      <c r="B49" s="8" t="s">
        <v>238</v>
      </c>
      <c r="C49" s="8" t="s">
        <v>239</v>
      </c>
      <c r="D49" s="8">
        <v>1999</v>
      </c>
      <c r="E49" s="8" t="s">
        <v>240</v>
      </c>
      <c r="F49" s="8" t="s">
        <v>207</v>
      </c>
      <c r="G49" s="8" t="s">
        <v>241</v>
      </c>
      <c r="H49" s="9" t="s">
        <v>242</v>
      </c>
    </row>
    <row r="50" spans="1:8" ht="14.4" x14ac:dyDescent="0.3">
      <c r="A50" s="8" t="s">
        <v>243</v>
      </c>
      <c r="B50" s="8" t="s">
        <v>244</v>
      </c>
      <c r="C50" s="8" t="s">
        <v>245</v>
      </c>
      <c r="D50" s="8">
        <v>2009</v>
      </c>
      <c r="E50" s="8" t="s">
        <v>246</v>
      </c>
      <c r="F50" s="8" t="s">
        <v>207</v>
      </c>
      <c r="G50" s="8" t="s">
        <v>247</v>
      </c>
      <c r="H50" s="9" t="s">
        <v>216</v>
      </c>
    </row>
    <row r="51" spans="1:8" ht="14.4" x14ac:dyDescent="0.3">
      <c r="A51" s="8" t="s">
        <v>248</v>
      </c>
      <c r="B51" s="8" t="s">
        <v>249</v>
      </c>
      <c r="C51" s="8" t="s">
        <v>250</v>
      </c>
      <c r="D51" s="8">
        <v>2024</v>
      </c>
      <c r="E51" s="8" t="s">
        <v>251</v>
      </c>
      <c r="F51" s="8" t="s">
        <v>207</v>
      </c>
      <c r="G51" s="8" t="s">
        <v>252</v>
      </c>
      <c r="H51" s="9" t="s">
        <v>253</v>
      </c>
    </row>
    <row r="52" spans="1:8" ht="14.4" x14ac:dyDescent="0.3">
      <c r="A52" s="10"/>
      <c r="B52" s="10"/>
      <c r="C52" s="10"/>
      <c r="D52" s="10"/>
      <c r="E52" s="10"/>
      <c r="F52" s="10"/>
      <c r="G52" s="10"/>
      <c r="H52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07D2-3C01-404B-ACC8-8D6141D38079}">
  <dimension ref="A1:I52"/>
  <sheetViews>
    <sheetView workbookViewId="0">
      <selection activeCell="F2" sqref="F2"/>
    </sheetView>
  </sheetViews>
  <sheetFormatPr baseColWidth="10" defaultColWidth="11.44140625" defaultRowHeight="15" customHeight="1" x14ac:dyDescent="0.3"/>
  <cols>
    <col min="1" max="1" width="10.5546875" bestFit="1" customWidth="1"/>
    <col min="2" max="2" width="22.44140625" customWidth="1"/>
    <col min="3" max="3" width="20.109375" customWidth="1"/>
    <col min="4" max="4" width="12.88671875" bestFit="1" customWidth="1"/>
    <col min="5" max="5" width="10.44140625" customWidth="1"/>
    <col min="6" max="6" width="16.5546875" bestFit="1" customWidth="1"/>
    <col min="7" max="7" width="19.6640625" bestFit="1" customWidth="1"/>
    <col min="8" max="8" width="22.6640625" bestFit="1" customWidth="1"/>
  </cols>
  <sheetData>
    <row r="1" spans="1:8" ht="14.4" x14ac:dyDescent="0.3">
      <c r="A1" s="4" t="s">
        <v>254</v>
      </c>
      <c r="B1" s="4" t="s">
        <v>255</v>
      </c>
      <c r="C1" s="4" t="s">
        <v>256</v>
      </c>
      <c r="D1" s="4" t="s">
        <v>257</v>
      </c>
      <c r="E1" s="4" t="s">
        <v>258</v>
      </c>
      <c r="F1" s="4" t="s">
        <v>259</v>
      </c>
      <c r="G1" s="4" t="s">
        <v>260</v>
      </c>
      <c r="H1" s="5" t="s">
        <v>261</v>
      </c>
    </row>
    <row r="2" spans="1:8" ht="43.2" x14ac:dyDescent="0.3">
      <c r="A2" s="2" t="s">
        <v>262</v>
      </c>
      <c r="B2" s="3" t="s">
        <v>263</v>
      </c>
      <c r="C2" s="3" t="s">
        <v>264</v>
      </c>
      <c r="D2" s="3" t="s">
        <v>265</v>
      </c>
      <c r="E2" s="3" t="s">
        <v>12</v>
      </c>
      <c r="F2" s="3">
        <v>25</v>
      </c>
      <c r="G2" s="3" t="s">
        <v>266</v>
      </c>
      <c r="H2" s="3" t="s">
        <v>267</v>
      </c>
    </row>
    <row r="3" spans="1:8" ht="58.5" customHeight="1" x14ac:dyDescent="0.3">
      <c r="A3" s="2" t="s">
        <v>268</v>
      </c>
      <c r="B3" s="3" t="s">
        <v>269</v>
      </c>
      <c r="C3" s="3" t="s">
        <v>270</v>
      </c>
      <c r="D3" s="3" t="str">
        <f>D2</f>
        <v>English, Spanish, Japanese</v>
      </c>
      <c r="E3" s="3" t="s">
        <v>64</v>
      </c>
      <c r="F3" s="3">
        <v>35</v>
      </c>
      <c r="G3" s="3" t="s">
        <v>266</v>
      </c>
      <c r="H3" s="3" t="s">
        <v>271</v>
      </c>
    </row>
    <row r="4" spans="1:8" ht="43.2" x14ac:dyDescent="0.3">
      <c r="A4" s="2" t="s">
        <v>272</v>
      </c>
      <c r="B4" s="3" t="s">
        <v>273</v>
      </c>
      <c r="C4" s="3" t="s">
        <v>111</v>
      </c>
      <c r="D4" s="3" t="str">
        <f t="shared" ref="D4:D11" si="0">D3</f>
        <v>English, Spanish, Japanese</v>
      </c>
      <c r="E4" s="3" t="s">
        <v>112</v>
      </c>
      <c r="F4" s="3">
        <v>25</v>
      </c>
      <c r="G4" s="3" t="s">
        <v>266</v>
      </c>
      <c r="H4" s="3" t="s">
        <v>274</v>
      </c>
    </row>
    <row r="5" spans="1:8" ht="43.2" x14ac:dyDescent="0.3">
      <c r="A5" s="2" t="s">
        <v>275</v>
      </c>
      <c r="B5" s="3" t="s">
        <v>276</v>
      </c>
      <c r="C5" s="3" t="s">
        <v>277</v>
      </c>
      <c r="D5" s="3" t="str">
        <f t="shared" si="0"/>
        <v>English, Spanish, Japanese</v>
      </c>
      <c r="E5" s="3" t="s">
        <v>161</v>
      </c>
      <c r="F5" s="3">
        <v>30</v>
      </c>
      <c r="G5" s="3" t="s">
        <v>266</v>
      </c>
      <c r="H5" s="3" t="s">
        <v>278</v>
      </c>
    </row>
    <row r="6" spans="1:8" ht="43.2" x14ac:dyDescent="0.3">
      <c r="A6" s="2" t="s">
        <v>279</v>
      </c>
      <c r="B6" s="3" t="s">
        <v>280</v>
      </c>
      <c r="C6" s="3" t="s">
        <v>281</v>
      </c>
      <c r="D6" s="3" t="str">
        <f t="shared" si="0"/>
        <v>English, Spanish, Japanese</v>
      </c>
      <c r="E6" s="3" t="s">
        <v>207</v>
      </c>
      <c r="F6" s="3">
        <v>20</v>
      </c>
      <c r="G6" s="3" t="s">
        <v>266</v>
      </c>
      <c r="H6" s="3" t="s">
        <v>282</v>
      </c>
    </row>
    <row r="7" spans="1:8" ht="43.2" x14ac:dyDescent="0.3">
      <c r="A7" s="2" t="s">
        <v>283</v>
      </c>
      <c r="B7" s="3" t="s">
        <v>284</v>
      </c>
      <c r="C7" s="3" t="s">
        <v>285</v>
      </c>
      <c r="D7" s="3" t="str">
        <f t="shared" si="0"/>
        <v>English, Spanish, Japanese</v>
      </c>
      <c r="E7" s="3" t="s">
        <v>286</v>
      </c>
      <c r="F7" s="3">
        <v>50</v>
      </c>
      <c r="G7" s="3" t="s">
        <v>287</v>
      </c>
      <c r="H7" s="3" t="s">
        <v>288</v>
      </c>
    </row>
    <row r="8" spans="1:8" ht="43.2" x14ac:dyDescent="0.3">
      <c r="A8" s="2" t="s">
        <v>289</v>
      </c>
      <c r="B8" s="3" t="s">
        <v>290</v>
      </c>
      <c r="C8" s="3" t="s">
        <v>291</v>
      </c>
      <c r="D8" s="3" t="str">
        <f t="shared" si="0"/>
        <v>English, Spanish, Japanese</v>
      </c>
      <c r="E8" s="3" t="s">
        <v>292</v>
      </c>
      <c r="F8" s="3">
        <v>45</v>
      </c>
      <c r="G8" s="3" t="s">
        <v>287</v>
      </c>
      <c r="H8" s="3" t="s">
        <v>293</v>
      </c>
    </row>
    <row r="9" spans="1:8" ht="43.2" x14ac:dyDescent="0.3">
      <c r="A9" s="2" t="s">
        <v>294</v>
      </c>
      <c r="B9" s="3" t="s">
        <v>295</v>
      </c>
      <c r="C9" s="3" t="s">
        <v>296</v>
      </c>
      <c r="D9" s="3" t="str">
        <f t="shared" si="0"/>
        <v>English, Spanish, Japanese</v>
      </c>
      <c r="E9" s="3" t="s">
        <v>297</v>
      </c>
      <c r="F9" s="3">
        <v>30</v>
      </c>
      <c r="G9" s="3" t="s">
        <v>266</v>
      </c>
      <c r="H9" s="3" t="s">
        <v>298</v>
      </c>
    </row>
    <row r="10" spans="1:8" ht="43.2" x14ac:dyDescent="0.3">
      <c r="A10" s="2" t="s">
        <v>299</v>
      </c>
      <c r="B10" s="3" t="s">
        <v>300</v>
      </c>
      <c r="C10" s="3" t="s">
        <v>301</v>
      </c>
      <c r="D10" s="3" t="str">
        <f t="shared" si="0"/>
        <v>English, Spanish, Japanese</v>
      </c>
      <c r="E10" s="3" t="s">
        <v>302</v>
      </c>
      <c r="F10" s="3">
        <v>50</v>
      </c>
      <c r="G10" s="3" t="s">
        <v>287</v>
      </c>
      <c r="H10" s="3" t="s">
        <v>303</v>
      </c>
    </row>
    <row r="11" spans="1:8" ht="43.2" x14ac:dyDescent="0.3">
      <c r="A11" s="2" t="s">
        <v>304</v>
      </c>
      <c r="B11" s="3" t="s">
        <v>305</v>
      </c>
      <c r="C11" s="3" t="s">
        <v>306</v>
      </c>
      <c r="D11" s="3" t="str">
        <f t="shared" si="0"/>
        <v>English, Spanish, Japanese</v>
      </c>
      <c r="E11" s="3" t="s">
        <v>307</v>
      </c>
      <c r="F11" s="3">
        <v>25</v>
      </c>
      <c r="G11" s="3" t="s">
        <v>308</v>
      </c>
      <c r="H11" s="3" t="s">
        <v>309</v>
      </c>
    </row>
    <row r="52" spans="1:9" ht="14.4" x14ac:dyDescent="0.3">
      <c r="A52" s="1"/>
      <c r="B52" s="1"/>
      <c r="C52" s="1"/>
      <c r="D52" s="1"/>
      <c r="E52" s="1"/>
      <c r="F52" s="1"/>
      <c r="G52" s="1"/>
      <c r="H52" s="1"/>
      <c r="I52" s="1" cm="1">
        <f t="array" aca="1" ref="I52" ca="1">A52:I52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7348-1F6B-47E2-B91E-AA31624090F9}">
  <dimension ref="A1:G6"/>
  <sheetViews>
    <sheetView workbookViewId="0">
      <selection activeCell="Q6" sqref="Q6"/>
    </sheetView>
  </sheetViews>
  <sheetFormatPr baseColWidth="10" defaultColWidth="8.88671875" defaultRowHeight="14.4" x14ac:dyDescent="0.3"/>
  <cols>
    <col min="1" max="1" width="11.44140625" bestFit="1" customWidth="1"/>
    <col min="2" max="2" width="14.33203125" customWidth="1"/>
    <col min="3" max="3" width="15.88671875" bestFit="1" customWidth="1"/>
    <col min="4" max="4" width="18.5546875" bestFit="1" customWidth="1"/>
    <col min="5" max="5" width="21.5546875" bestFit="1" customWidth="1"/>
    <col min="6" max="6" width="21.44140625" bestFit="1" customWidth="1"/>
    <col min="7" max="7" width="24.33203125" customWidth="1"/>
  </cols>
  <sheetData>
    <row r="1" spans="1:7" x14ac:dyDescent="0.3">
      <c r="A1" s="4" t="s">
        <v>5</v>
      </c>
      <c r="B1" s="4" t="s">
        <v>310</v>
      </c>
      <c r="C1" s="4" t="s">
        <v>311</v>
      </c>
      <c r="D1" s="4" t="s">
        <v>312</v>
      </c>
      <c r="E1" s="4" t="s">
        <v>313</v>
      </c>
      <c r="F1" s="4" t="s">
        <v>314</v>
      </c>
      <c r="G1" s="4" t="s">
        <v>315</v>
      </c>
    </row>
    <row r="2" spans="1:7" ht="28.8" x14ac:dyDescent="0.3">
      <c r="A2" s="2" t="s">
        <v>12</v>
      </c>
      <c r="B2" s="3" t="s">
        <v>316</v>
      </c>
      <c r="C2" s="3">
        <v>30</v>
      </c>
      <c r="D2" s="3">
        <v>20</v>
      </c>
      <c r="E2" s="3">
        <v>45</v>
      </c>
      <c r="F2" s="3">
        <v>150</v>
      </c>
      <c r="G2" s="3" t="s">
        <v>317</v>
      </c>
    </row>
    <row r="3" spans="1:7" ht="28.8" x14ac:dyDescent="0.3">
      <c r="A3" s="2" t="s">
        <v>64</v>
      </c>
      <c r="B3" s="3" t="s">
        <v>318</v>
      </c>
      <c r="C3" s="3">
        <v>20</v>
      </c>
      <c r="D3" s="3">
        <v>19</v>
      </c>
      <c r="E3" s="3">
        <v>40</v>
      </c>
      <c r="F3" s="3">
        <v>50</v>
      </c>
      <c r="G3" s="3" t="s">
        <v>271</v>
      </c>
    </row>
    <row r="4" spans="1:7" ht="28.8" x14ac:dyDescent="0.3">
      <c r="A4" s="2" t="s">
        <v>112</v>
      </c>
      <c r="B4" s="3" t="s">
        <v>319</v>
      </c>
      <c r="C4" s="3">
        <v>40</v>
      </c>
      <c r="D4" s="3">
        <v>21</v>
      </c>
      <c r="E4" s="3">
        <v>50</v>
      </c>
      <c r="F4" s="3">
        <v>200</v>
      </c>
      <c r="G4" s="3" t="s">
        <v>274</v>
      </c>
    </row>
    <row r="5" spans="1:7" ht="28.8" x14ac:dyDescent="0.3">
      <c r="A5" s="2" t="s">
        <v>161</v>
      </c>
      <c r="B5" s="3" t="s">
        <v>320</v>
      </c>
      <c r="C5" s="3">
        <v>35</v>
      </c>
      <c r="D5" s="3">
        <v>22</v>
      </c>
      <c r="E5" s="3">
        <v>50</v>
      </c>
      <c r="F5" s="3">
        <v>180</v>
      </c>
      <c r="G5" s="3" t="s">
        <v>278</v>
      </c>
    </row>
    <row r="6" spans="1:7" ht="28.8" x14ac:dyDescent="0.3">
      <c r="A6" s="2" t="s">
        <v>207</v>
      </c>
      <c r="B6" s="3" t="s">
        <v>321</v>
      </c>
      <c r="C6" s="3">
        <v>50</v>
      </c>
      <c r="D6" s="3">
        <v>23</v>
      </c>
      <c r="E6" s="3">
        <v>55</v>
      </c>
      <c r="F6" s="3">
        <v>300</v>
      </c>
      <c r="G6" s="3" t="s">
        <v>282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41F779EA69FF4B80371A59777259ED" ma:contentTypeVersion="10" ma:contentTypeDescription="Crear nuevo documento." ma:contentTypeScope="" ma:versionID="d5ba39860cc1d35702e554a3f4e71533">
  <xsd:schema xmlns:xsd="http://www.w3.org/2001/XMLSchema" xmlns:xs="http://www.w3.org/2001/XMLSchema" xmlns:p="http://schemas.microsoft.com/office/2006/metadata/properties" xmlns:ns3="81b35a70-04ca-4ddf-9a4e-7dd4e57a894c" targetNamespace="http://schemas.microsoft.com/office/2006/metadata/properties" ma:root="true" ma:fieldsID="090a8d18dc3b0622bea2f423f2fc5709" ns3:_="">
    <xsd:import namespace="81b35a70-04ca-4ddf-9a4e-7dd4e57a89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35a70-04ca-4ddf-9a4e-7dd4e57a89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b35a70-04ca-4ddf-9a4e-7dd4e57a894c" xsi:nil="true"/>
  </documentManagement>
</p:properties>
</file>

<file path=customXml/itemProps1.xml><?xml version="1.0" encoding="utf-8"?>
<ds:datastoreItem xmlns:ds="http://schemas.openxmlformats.org/officeDocument/2006/customXml" ds:itemID="{634D9E49-E581-478C-A64B-4E3338170F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CD2E6C-8C63-46F2-8926-4C7C92200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b35a70-04ca-4ddf-9a4e-7dd4e57a89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A7E414-FD32-4DBF-BD1F-7E881DED8EB6}">
  <ds:schemaRefs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81b35a70-04ca-4ddf-9a4e-7dd4e57a894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artworks</vt:lpstr>
      <vt:lpstr>expositions</vt:lpstr>
      <vt:lpstr>rooms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YAIZA MOYONS RODRIGUEZ</dc:creator>
  <cp:keywords/>
  <dc:description/>
  <cp:lastModifiedBy>YAIZA MOYONS RODRIGUEZ</cp:lastModifiedBy>
  <cp:revision/>
  <dcterms:created xsi:type="dcterms:W3CDTF">2026-03-18T17:53:43Z</dcterms:created>
  <dcterms:modified xsi:type="dcterms:W3CDTF">2026-03-21T19:50:17Z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0x010100E141F779EA69FF4B80371A59777259ED</vt:lpwstr>
  </property>
</Properties>
</file>